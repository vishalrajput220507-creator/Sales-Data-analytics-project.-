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4"/>
    <sheet state="visible" name="Category_Summary" sheetId="2" r:id="rId5"/>
  </sheets>
  <definedNames/>
  <calcPr/>
</workbook>
</file>

<file path=xl/sharedStrings.xml><?xml version="1.0" encoding="utf-8"?>
<sst xmlns="http://schemas.openxmlformats.org/spreadsheetml/2006/main" count="86" uniqueCount="23">
  <si>
    <t>Order_ID</t>
  </si>
  <si>
    <t>Order_Date</t>
  </si>
  <si>
    <t>Product</t>
  </si>
  <si>
    <t>Category</t>
  </si>
  <si>
    <t>Quantity</t>
  </si>
  <si>
    <t>Unit_Price_INR</t>
  </si>
  <si>
    <t>Region</t>
  </si>
  <si>
    <t>Sales_INR</t>
  </si>
  <si>
    <t xml:space="preserve">Total Sales </t>
  </si>
  <si>
    <t>Laptop</t>
  </si>
  <si>
    <t>Electronics</t>
  </si>
  <si>
    <t>North</t>
  </si>
  <si>
    <t>Mouse</t>
  </si>
  <si>
    <t>Accessories</t>
  </si>
  <si>
    <t>West</t>
  </si>
  <si>
    <t>Office Chair</t>
  </si>
  <si>
    <t>Furniture</t>
  </si>
  <si>
    <t>South</t>
  </si>
  <si>
    <t>Keyboard</t>
  </si>
  <si>
    <t>East</t>
  </si>
  <si>
    <t>Desk</t>
  </si>
  <si>
    <t>Monitor</t>
  </si>
  <si>
    <t>Total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</si>
</sst>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/>
      <name val="Arial"/>
      <scheme val="minor"/>
    </font>
    <font>
      <b/>
    </font>
    <font/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Category-wise Sales Analysis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Sales_Data!$K$10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Sales_Data!$J$11:$J$13</c:f>
            </c:strRef>
          </c:cat>
          <c:val>
            <c:numRef>
              <c:f>Sales_Data!$K$11:$K$13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14</xdr:row>
      <xdr:rowOff>0</xdr:rowOff>
    </xdr:from>
    <xdr:ext cx="5715000" cy="3533775"/>
    <xdr:graphicFrame>
      <xdr:nvGraphicFramePr>
        <xdr:cNvPr id="1" name="Chart 1" title="Category-wise Sales Analysi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2.0"/>
    <col customWidth="1" min="11" max="11" width="11.43"/>
    <col customWidth="1" min="12" max="12" width="77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2</v>
      </c>
      <c r="K1" s="2" t="s">
        <v>8</v>
      </c>
      <c r="L1" s="2"/>
    </row>
    <row r="2">
      <c r="A2">
        <v>1001.0</v>
      </c>
      <c r="B2" s="3">
        <v>46027.0</v>
      </c>
      <c r="C2" t="s">
        <v>9</v>
      </c>
      <c r="D2" t="s">
        <v>10</v>
      </c>
      <c r="E2">
        <v>2.0</v>
      </c>
      <c r="F2">
        <v>45000.0</v>
      </c>
      <c r="G2" t="s">
        <v>11</v>
      </c>
      <c r="H2">
        <v>90000.0</v>
      </c>
      <c r="J2" s="2" t="s">
        <v>9</v>
      </c>
      <c r="K2" s="2" t="str">
        <f>SUMIF(C2:C21,J2,H2:H21)</f>
        <v>315000</v>
      </c>
    </row>
    <row r="3">
      <c r="A3">
        <v>1002.0</v>
      </c>
      <c r="B3" s="3">
        <v>46030.0</v>
      </c>
      <c r="C3" t="s">
        <v>12</v>
      </c>
      <c r="D3" t="s">
        <v>13</v>
      </c>
      <c r="E3">
        <v>5.0</v>
      </c>
      <c r="F3">
        <v>600.0</v>
      </c>
      <c r="G3" t="s">
        <v>14</v>
      </c>
      <c r="H3" s="2" t="str">
        <f t="shared" ref="H3:H4" si="1">E3*F3</f>
        <v>3000</v>
      </c>
      <c r="J3" s="2" t="s">
        <v>12</v>
      </c>
      <c r="K3" s="2" t="str">
        <f>SUMIF(C2:C21,J3,H2:H21)</f>
        <v>13800</v>
      </c>
    </row>
    <row r="4">
      <c r="A4">
        <v>1003.0</v>
      </c>
      <c r="B4" s="3">
        <v>46034.0</v>
      </c>
      <c r="C4" t="s">
        <v>15</v>
      </c>
      <c r="D4" t="s">
        <v>16</v>
      </c>
      <c r="E4">
        <v>3.0</v>
      </c>
      <c r="F4">
        <v>5500.0</v>
      </c>
      <c r="G4" t="s">
        <v>17</v>
      </c>
      <c r="H4" t="str">
        <f t="shared" si="1"/>
        <v>16500</v>
      </c>
      <c r="J4" s="2" t="s">
        <v>15</v>
      </c>
      <c r="K4" s="2" t="str">
        <f>SUMIF(C2:C21,J4,H2:H21)</f>
        <v>49500</v>
      </c>
    </row>
    <row r="5">
      <c r="A5">
        <v>1004.0</v>
      </c>
      <c r="B5" s="3">
        <v>46040.0</v>
      </c>
      <c r="C5" t="s">
        <v>18</v>
      </c>
      <c r="D5" t="s">
        <v>13</v>
      </c>
      <c r="E5">
        <v>4.0</v>
      </c>
      <c r="F5">
        <v>1200.0</v>
      </c>
      <c r="G5" t="s">
        <v>19</v>
      </c>
      <c r="H5">
        <v>4800.0</v>
      </c>
      <c r="J5" s="2" t="s">
        <v>18</v>
      </c>
      <c r="K5" s="2" t="str">
        <f>SUMIF(C2:C21,J5,H2:H21)</f>
        <v>20400</v>
      </c>
    </row>
    <row r="6">
      <c r="A6">
        <v>1005.0</v>
      </c>
      <c r="B6" s="3">
        <v>46056.0</v>
      </c>
      <c r="C6" t="s">
        <v>9</v>
      </c>
      <c r="D6" t="s">
        <v>10</v>
      </c>
      <c r="E6">
        <v>1.0</v>
      </c>
      <c r="F6">
        <v>45000.0</v>
      </c>
      <c r="G6" t="s">
        <v>19</v>
      </c>
      <c r="H6" t="str">
        <f>E6*F6</f>
        <v>45000</v>
      </c>
      <c r="J6" s="2" t="s">
        <v>20</v>
      </c>
      <c r="K6" s="2" t="str">
        <f>SUMIF(C2:C21,J6,H2:H21)</f>
        <v>59500</v>
      </c>
    </row>
    <row r="7">
      <c r="A7">
        <v>1006.0</v>
      </c>
      <c r="B7" s="3">
        <v>46062.0</v>
      </c>
      <c r="C7" t="s">
        <v>20</v>
      </c>
      <c r="D7" t="s">
        <v>16</v>
      </c>
      <c r="E7">
        <v>2.0</v>
      </c>
      <c r="F7">
        <v>8500.0</v>
      </c>
      <c r="G7" t="s">
        <v>11</v>
      </c>
      <c r="H7">
        <v>17000.0</v>
      </c>
      <c r="J7" s="2" t="s">
        <v>21</v>
      </c>
      <c r="K7" s="2" t="str">
        <f>SUMIF(C2:C21,J7,H2:H21)</f>
        <v>108000</v>
      </c>
    </row>
    <row r="8">
      <c r="A8">
        <v>1007.0</v>
      </c>
      <c r="B8" s="3">
        <v>46067.0</v>
      </c>
      <c r="C8" t="s">
        <v>21</v>
      </c>
      <c r="D8" t="s">
        <v>10</v>
      </c>
      <c r="E8">
        <v>3.0</v>
      </c>
      <c r="F8">
        <v>12000.0</v>
      </c>
      <c r="G8" t="s">
        <v>14</v>
      </c>
      <c r="H8">
        <v>36000.0</v>
      </c>
    </row>
    <row r="9">
      <c r="A9">
        <v>1008.0</v>
      </c>
      <c r="B9" s="3">
        <v>46074.0</v>
      </c>
      <c r="C9" t="s">
        <v>12</v>
      </c>
      <c r="D9" t="s">
        <v>13</v>
      </c>
      <c r="E9">
        <v>8.0</v>
      </c>
      <c r="F9">
        <v>600.0</v>
      </c>
      <c r="G9" t="s">
        <v>17</v>
      </c>
      <c r="H9">
        <v>4800.0</v>
      </c>
    </row>
    <row r="10">
      <c r="A10">
        <v>1009.0</v>
      </c>
      <c r="B10" s="3">
        <v>46083.0</v>
      </c>
      <c r="C10" t="s">
        <v>18</v>
      </c>
      <c r="D10" t="s">
        <v>13</v>
      </c>
      <c r="E10">
        <v>6.0</v>
      </c>
      <c r="F10">
        <v>1200.0</v>
      </c>
      <c r="G10" t="s">
        <v>11</v>
      </c>
      <c r="H10">
        <v>7200.0</v>
      </c>
      <c r="J10" s="2" t="s">
        <v>3</v>
      </c>
      <c r="K10" s="2" t="s">
        <v>22</v>
      </c>
    </row>
    <row r="11">
      <c r="A11">
        <v>1010.0</v>
      </c>
      <c r="B11" s="3">
        <v>46088.0</v>
      </c>
      <c r="C11" t="s">
        <v>9</v>
      </c>
      <c r="D11" t="s">
        <v>10</v>
      </c>
      <c r="E11">
        <v>2.0</v>
      </c>
      <c r="F11">
        <v>45000.0</v>
      </c>
      <c r="G11" t="s">
        <v>17</v>
      </c>
      <c r="H11">
        <v>90000.0</v>
      </c>
      <c r="J11" s="2" t="s">
        <v>10</v>
      </c>
      <c r="K11" t="str">
        <f>SUMIF(D2:D21,J11,H2:H21)</f>
        <v>423000</v>
      </c>
    </row>
    <row r="12">
      <c r="A12">
        <v>1011.0</v>
      </c>
      <c r="B12" s="3">
        <v>46096.0</v>
      </c>
      <c r="C12" t="s">
        <v>15</v>
      </c>
      <c r="D12" t="s">
        <v>16</v>
      </c>
      <c r="E12">
        <v>4.0</v>
      </c>
      <c r="F12">
        <v>5500.0</v>
      </c>
      <c r="G12" t="s">
        <v>19</v>
      </c>
      <c r="H12">
        <v>22000.0</v>
      </c>
      <c r="J12" s="2" t="s">
        <v>16</v>
      </c>
      <c r="K12" t="str">
        <f>SUMIF(D2:D21,J12,H2:H21)</f>
        <v>109000</v>
      </c>
    </row>
    <row r="13">
      <c r="A13">
        <v>1012.0</v>
      </c>
      <c r="B13" s="3">
        <v>46105.0</v>
      </c>
      <c r="C13" t="s">
        <v>21</v>
      </c>
      <c r="D13" t="s">
        <v>10</v>
      </c>
      <c r="E13">
        <v>2.0</v>
      </c>
      <c r="F13">
        <v>12000.0</v>
      </c>
      <c r="G13" t="s">
        <v>11</v>
      </c>
      <c r="H13">
        <v>24000.0</v>
      </c>
      <c r="J13" s="2" t="s">
        <v>13</v>
      </c>
      <c r="K13" t="str">
        <f>SUMIF(D2:D21,J13,H2:H21)</f>
        <v>34200</v>
      </c>
    </row>
    <row r="14">
      <c r="A14">
        <v>1013.0</v>
      </c>
      <c r="B14" s="3">
        <v>46116.0</v>
      </c>
      <c r="C14" t="s">
        <v>20</v>
      </c>
      <c r="D14" t="s">
        <v>16</v>
      </c>
      <c r="E14">
        <v>3.0</v>
      </c>
      <c r="F14">
        <v>8500.0</v>
      </c>
      <c r="G14" t="s">
        <v>14</v>
      </c>
      <c r="H14">
        <v>25500.0</v>
      </c>
    </row>
    <row r="15">
      <c r="A15">
        <v>1014.0</v>
      </c>
      <c r="B15" s="3">
        <v>46123.0</v>
      </c>
      <c r="C15" t="s">
        <v>12</v>
      </c>
      <c r="D15" t="s">
        <v>13</v>
      </c>
      <c r="E15">
        <v>10.0</v>
      </c>
      <c r="F15">
        <v>600.0</v>
      </c>
      <c r="G15" t="s">
        <v>19</v>
      </c>
      <c r="H15">
        <v>6000.0</v>
      </c>
    </row>
    <row r="16">
      <c r="A16">
        <v>1015.0</v>
      </c>
      <c r="B16" s="3">
        <v>46131.0</v>
      </c>
      <c r="C16" t="s">
        <v>9</v>
      </c>
      <c r="D16" t="s">
        <v>10</v>
      </c>
      <c r="E16">
        <v>1.0</v>
      </c>
      <c r="F16">
        <v>45000.0</v>
      </c>
      <c r="G16" t="s">
        <v>11</v>
      </c>
      <c r="H16">
        <v>45000.0</v>
      </c>
    </row>
    <row r="17">
      <c r="A17">
        <v>1016.0</v>
      </c>
      <c r="B17" s="3">
        <v>46139.0</v>
      </c>
      <c r="C17" t="s">
        <v>18</v>
      </c>
      <c r="D17" t="s">
        <v>13</v>
      </c>
      <c r="E17">
        <v>7.0</v>
      </c>
      <c r="F17">
        <v>1200.0</v>
      </c>
      <c r="G17" t="s">
        <v>17</v>
      </c>
      <c r="H17">
        <v>8400.0</v>
      </c>
    </row>
    <row r="18">
      <c r="A18">
        <v>1017.0</v>
      </c>
      <c r="B18" s="3">
        <v>46148.0</v>
      </c>
      <c r="C18" t="s">
        <v>21</v>
      </c>
      <c r="D18" t="s">
        <v>10</v>
      </c>
      <c r="E18">
        <v>4.0</v>
      </c>
      <c r="F18">
        <v>12000.0</v>
      </c>
      <c r="G18" t="s">
        <v>19</v>
      </c>
      <c r="H18">
        <v>48000.0</v>
      </c>
    </row>
    <row r="19">
      <c r="A19">
        <v>1018.0</v>
      </c>
      <c r="B19" s="3">
        <v>46155.0</v>
      </c>
      <c r="C19" t="s">
        <v>15</v>
      </c>
      <c r="D19" t="s">
        <v>16</v>
      </c>
      <c r="E19">
        <v>2.0</v>
      </c>
      <c r="F19">
        <v>5500.0</v>
      </c>
      <c r="G19" t="s">
        <v>14</v>
      </c>
      <c r="H19">
        <v>11000.0</v>
      </c>
    </row>
    <row r="20">
      <c r="A20">
        <v>1019.0</v>
      </c>
      <c r="B20" s="3">
        <v>46162.0</v>
      </c>
      <c r="C20" t="s">
        <v>9</v>
      </c>
      <c r="D20" t="s">
        <v>10</v>
      </c>
      <c r="E20">
        <v>1.0</v>
      </c>
      <c r="F20">
        <v>45000.0</v>
      </c>
      <c r="G20" t="s">
        <v>14</v>
      </c>
      <c r="H20">
        <v>45000.0</v>
      </c>
    </row>
    <row r="21" ht="15.75" customHeight="1">
      <c r="A21">
        <v>1020.0</v>
      </c>
      <c r="B21" s="3">
        <v>46170.0</v>
      </c>
      <c r="C21" t="s">
        <v>20</v>
      </c>
      <c r="D21" t="s">
        <v>16</v>
      </c>
      <c r="E21">
        <v>2.0</v>
      </c>
      <c r="F21">
        <v>8500.0</v>
      </c>
      <c r="G21" t="s">
        <v>17</v>
      </c>
      <c r="H21">
        <v>17000.0</v>
      </c>
    </row>
    <row r="22" ht="15.75" customHeight="1"/>
    <row r="23" ht="15.75" customHeight="1">
      <c r="H23" t="str">
        <f>SUM(H2:H21)</f>
        <v>566200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3</v>
      </c>
      <c r="B1" s="1" t="s">
        <v>7</v>
      </c>
    </row>
    <row r="2">
      <c r="A2" t="s">
        <v>10</v>
      </c>
      <c r="B2">
        <v>423000.0</v>
      </c>
    </row>
    <row r="3">
      <c r="A3" t="s">
        <v>16</v>
      </c>
      <c r="B3">
        <v>109000.0</v>
      </c>
    </row>
    <row r="4">
      <c r="A4" t="s">
        <v>13</v>
      </c>
      <c r="B4">
        <v>34200.0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2026-10-13T10:17:52Z</dcterms:created>
  <dc:creator>openpyxl</dc:creator>
  <dcterms:modified xsi:type="dcterms:W3CDTF">2026-10-13T10:17:52Z</dcterms:modified>
</cp:coreProperties>
</file>